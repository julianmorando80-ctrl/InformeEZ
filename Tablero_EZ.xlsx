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lia\OneDrive\Documentos\"/>
    </mc:Choice>
  </mc:AlternateContent>
  <bookViews>
    <workbookView xWindow="0" yWindow="0" windowWidth="16380" windowHeight="8190" tabRatio="500" firstSheet="1" activeTab="5"/>
  </bookViews>
  <sheets>
    <sheet name="📊 Dashboard" sheetId="1" r:id="rId1"/>
    <sheet name="👥 Empleados" sheetId="2" r:id="rId2"/>
    <sheet name="🏢 Clientes" sheetId="3" r:id="rId3"/>
    <sheet name="✅ Tareas" sheetId="4" r:id="rId4"/>
    <sheet name="📧 Comunicaciones" sheetId="5" r:id="rId5"/>
    <sheet name="Modelo" sheetId="6" r:id="rId6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" i="2" l="1"/>
  <c r="G5" i="2"/>
  <c r="G4" i="2"/>
  <c r="G3" i="2"/>
  <c r="B7" i="1"/>
  <c r="B6" i="1"/>
  <c r="E5" i="1"/>
  <c r="B5" i="1"/>
  <c r="E4" i="1"/>
  <c r="B4" i="1"/>
  <c r="E3" i="1"/>
  <c r="B3" i="1"/>
</calcChain>
</file>

<file path=xl/sharedStrings.xml><?xml version="1.0" encoding="utf-8"?>
<sst xmlns="http://schemas.openxmlformats.org/spreadsheetml/2006/main" count="215" uniqueCount="136">
  <si>
    <t>DASHBOARD — RESUMEN GENERAL</t>
  </si>
  <si>
    <t>EMPLEADOS Y TAREAS</t>
  </si>
  <si>
    <t>COMUNICACIONES</t>
  </si>
  <si>
    <t>Total empleados</t>
  </si>
  <si>
    <t>Comunicaciones enviadas (mes)</t>
  </si>
  <si>
    <t>Total clientes</t>
  </si>
  <si>
    <t>Comunicaciones pendientes</t>
  </si>
  <si>
    <t>Tareas completadas</t>
  </si>
  <si>
    <t>Sin enviar</t>
  </si>
  <si>
    <t>Tareas pendientes</t>
  </si>
  <si>
    <t>Tareas en curso</t>
  </si>
  <si>
    <t>📋 INSTRUCCIONES RÁPIDAS</t>
  </si>
  <si>
    <t>👥 Empleados</t>
  </si>
  <si>
    <t>Registrá cada empleado, sus clientes asignados y cargá horas semanales cada lunes.</t>
  </si>
  <si>
    <t>🏢 Clientes</t>
  </si>
  <si>
    <t>Un cliente por fila. Completar: categoría fiscal, responsable, cierre de ejercicio y anticipos.</t>
  </si>
  <si>
    <t>✅ Tareas</t>
  </si>
  <si>
    <t>Registrá cada tarea asignada con fechas, horas estimadas/reales y estado actualizado.</t>
  </si>
  <si>
    <t>📧 Comunicaciones</t>
  </si>
  <si>
    <t>Cada mes, una fila por cliente. Marcá cada ítem incluido y actualizá el estado al enviar.</t>
  </si>
  <si>
    <t>PANEL DE SUPERVISIÓN — EMPLEADOS</t>
  </si>
  <si>
    <t>Empleado</t>
  </si>
  <si>
    <t>Rol</t>
  </si>
  <si>
    <t>Email</t>
  </si>
  <si>
    <t>Tel.</t>
  </si>
  <si>
    <t>Hs. Semanales
Contratadas</t>
  </si>
  <si>
    <t>Hs. Cargadas
Esta Semana</t>
  </si>
  <si>
    <t>% Carga
Semanal</t>
  </si>
  <si>
    <t>Clientes
Asignados</t>
  </si>
  <si>
    <t>Tareas
Pendientes</t>
  </si>
  <si>
    <t>Observaciones</t>
  </si>
  <si>
    <t>Ana García</t>
  </si>
  <si>
    <t>Contadora Senior</t>
  </si>
  <si>
    <t>ana@estudio.com</t>
  </si>
  <si>
    <t>11-1234-5678</t>
  </si>
  <si>
    <t>Luis Pérez</t>
  </si>
  <si>
    <t>Contador Junior</t>
  </si>
  <si>
    <t>luis@estudio.com</t>
  </si>
  <si>
    <t>11-2345-6789</t>
  </si>
  <si>
    <t>Período de adaptación</t>
  </si>
  <si>
    <t>María López</t>
  </si>
  <si>
    <t>Administrativa</t>
  </si>
  <si>
    <t>maria@estudio.com</t>
  </si>
  <si>
    <t>11-3456-7890</t>
  </si>
  <si>
    <t>Carlos Ruiz</t>
  </si>
  <si>
    <t>Contador Senior</t>
  </si>
  <si>
    <t>carlos@estudio.com</t>
  </si>
  <si>
    <t>11-4567-8901</t>
  </si>
  <si>
    <t>💡 Completar: Hs. Cargadas Esta Semana y Tareas Pendientes cada lunes. El % se calcula automáticamente.</t>
  </si>
  <si>
    <t>PANEL DE SUPERVISIÓN — CLIENTES</t>
  </si>
  <si>
    <t>Razón Social</t>
  </si>
  <si>
    <t>CUIT</t>
  </si>
  <si>
    <t>Categoría
Fiscal</t>
  </si>
  <si>
    <t>Responsable
Asignado</t>
  </si>
  <si>
    <t>Cierre de
Ejercicio</t>
  </si>
  <si>
    <t>Próximo
Anticipo Gs.</t>
  </si>
  <si>
    <t>Últ. Comunicación
Enviada</t>
  </si>
  <si>
    <t>Estado
Comunicación</t>
  </si>
  <si>
    <t>Diagnóstico
Fiscal</t>
  </si>
  <si>
    <t>Cuenta
Corriente</t>
  </si>
  <si>
    <t>Anticipos
Ganancias</t>
  </si>
  <si>
    <t>Distribuidora Norte SRL</t>
  </si>
  <si>
    <t>30-12345678-9</t>
  </si>
  <si>
    <t>Resp. Inscripto</t>
  </si>
  <si>
    <t>31/12</t>
  </si>
  <si>
    <t>Jun-2025</t>
  </si>
  <si>
    <t>15/04/2025</t>
  </si>
  <si>
    <t>✅ Enviado</t>
  </si>
  <si>
    <t>OK</t>
  </si>
  <si>
    <t>Al día</t>
  </si>
  <si>
    <t>Bimestral</t>
  </si>
  <si>
    <t>Comercial Sur SA</t>
  </si>
  <si>
    <t>30-98765432-1</t>
  </si>
  <si>
    <t>30/06</t>
  </si>
  <si>
    <t>Abr-2025</t>
  </si>
  <si>
    <t>10/03/2025</t>
  </si>
  <si>
    <t>⚠️ Pendiente</t>
  </si>
  <si>
    <t>Cuatrimestral</t>
  </si>
  <si>
    <t>Requiere diagnóstico urgente</t>
  </si>
  <si>
    <t>González Hnos.</t>
  </si>
  <si>
    <t>20-11223344-5</t>
  </si>
  <si>
    <t>Monotributista</t>
  </si>
  <si>
    <t>-</t>
  </si>
  <si>
    <t>01/04/2025</t>
  </si>
  <si>
    <t>Saldo deudor</t>
  </si>
  <si>
    <t>Cuota vencida</t>
  </si>
  <si>
    <t>Tech Solutions SRL</t>
  </si>
  <si>
    <t>30-44556677-8</t>
  </si>
  <si>
    <t>31/10</t>
  </si>
  <si>
    <t>May-2025</t>
  </si>
  <si>
    <t>20/04/2025</t>
  </si>
  <si>
    <t>Farmacia El Sol</t>
  </si>
  <si>
    <t>30-22334455-6</t>
  </si>
  <si>
    <t>31/03</t>
  </si>
  <si>
    <t>🔴 Sin enviar</t>
  </si>
  <si>
    <t>💡 Estado: ✅ Enviado | ⚠️ Pendiente | 🔴 Sin enviar — Actualizar luego de cada comunicación mensual.</t>
  </si>
  <si>
    <t>REGISTRO DE TAREAS POR EMPLEADO</t>
  </si>
  <si>
    <t>Cliente</t>
  </si>
  <si>
    <t>Tarea</t>
  </si>
  <si>
    <t>Categoría</t>
  </si>
  <si>
    <t>Prioridad</t>
  </si>
  <si>
    <t>Fecha
Asignación</t>
  </si>
  <si>
    <t>Fecha
Vencimiento</t>
  </si>
  <si>
    <t>Hs.
Estimadas</t>
  </si>
  <si>
    <t>Hs.
Reales</t>
  </si>
  <si>
    <t>Estado</t>
  </si>
  <si>
    <t>Liquidación IVA Marzo</t>
  </si>
  <si>
    <t>Impuestos</t>
  </si>
  <si>
    <t>Alta</t>
  </si>
  <si>
    <t>18/04/2025</t>
  </si>
  <si>
    <t>✅ Completada</t>
  </si>
  <si>
    <t>Balance anual 2024</t>
  </si>
  <si>
    <t>Contabilidad</t>
  </si>
  <si>
    <t>30/04/2025</t>
  </si>
  <si>
    <t>🔄 En curso</t>
  </si>
  <si>
    <t>Actualización monotributo</t>
  </si>
  <si>
    <t>Media</t>
  </si>
  <si>
    <t>10/04/2025</t>
  </si>
  <si>
    <t>25/04/2025</t>
  </si>
  <si>
    <t>⏳ Pendiente</t>
  </si>
  <si>
    <t>Declaración jurada IIBB</t>
  </si>
  <si>
    <t>Diagnóstico fiscal mensual</t>
  </si>
  <si>
    <t>Comunicación</t>
  </si>
  <si>
    <t>28/04/2025</t>
  </si>
  <si>
    <t>REGISTRO DE COMUNICACIONES MENSUALES CON CLIENTES</t>
  </si>
  <si>
    <t>Mes / Período</t>
  </si>
  <si>
    <t>Fecha
Envío</t>
  </si>
  <si>
    <t>Medio
(Email/WhatsApp)</t>
  </si>
  <si>
    <t>Otro Info.
Relevante</t>
  </si>
  <si>
    <t>Abril 2025</t>
  </si>
  <si>
    <t>✔</t>
  </si>
  <si>
    <t>WhatsApp</t>
  </si>
  <si>
    <t>Cuota vencida informada</t>
  </si>
  <si>
    <t>Marzo 2025</t>
  </si>
  <si>
    <t>15/03/2025</t>
  </si>
  <si>
    <t>💡 Agregar una fila por cliente por mes. Marcar con ✔ cada ítem incluido en la comunicación. Actualizar Estado al enviar.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</si>
</sst>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A237E"/>
      <name val="Arial"/>
      <charset val="1"/>
    </font>
    <font>
      <b/>
      <sz val="12"/>
      <color rgb="FF1A237E"/>
      <name val="Arial"/>
      <charset val="1"/>
    </font>
    <font>
      <b/>
      <sz val="11"/>
      <color rgb="FF1A237E"/>
      <name val="Arial"/>
      <charset val="1"/>
    </font>
    <font>
      <b/>
      <sz val="10"/>
      <color rgb="FF3949AB"/>
      <name val="Arial"/>
      <charset val="1"/>
    </font>
    <font>
      <sz val="10"/>
      <color rgb="FF212121"/>
      <name val="Arial"/>
      <charset val="1"/>
    </font>
    <font>
      <b/>
      <sz val="11"/>
      <color rgb="FFFFFFFF"/>
      <name val="Arial"/>
      <charset val="1"/>
    </font>
    <font>
      <i/>
      <sz val="9"/>
      <color rgb="FF5C6BC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A237E"/>
        <bgColor rgb="FF283593"/>
      </patternFill>
    </fill>
    <fill>
      <patternFill patternType="solid">
        <fgColor rgb="FF283593"/>
        <bgColor rgb="FF1A237E"/>
      </patternFill>
    </fill>
    <fill>
      <patternFill patternType="solid">
        <fgColor rgb="FFE8EAF6"/>
        <bgColor rgb="FFE3F2FD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E3F2FD"/>
      </patternFill>
    </fill>
    <fill>
      <patternFill patternType="solid">
        <fgColor rgb="FFFFF9C4"/>
        <bgColor rgb="FFF5F5F5"/>
      </patternFill>
    </fill>
    <fill>
      <patternFill patternType="solid">
        <fgColor rgb="FFFFEBEE"/>
        <bgColor rgb="FFF5F5F5"/>
      </patternFill>
    </fill>
    <fill>
      <patternFill patternType="solid">
        <fgColor rgb="FFE3F2FD"/>
        <bgColor rgb="FFE8EAF6"/>
      </patternFill>
    </fill>
    <fill>
      <patternFill patternType="solid">
        <fgColor rgb="FFF5F5F5"/>
        <bgColor rgb="FFE8F5E9"/>
      </patternFill>
    </fill>
    <fill>
      <patternFill patternType="solid">
        <fgColor rgb="FF3949AB"/>
        <bgColor rgb="FF283593"/>
      </patternFill>
    </fill>
  </fills>
  <borders count="3">
    <border>
      <left/>
      <right/>
      <top/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9" fontId="7" fillId="5" borderId="2" xfId="0" applyNumberFormat="1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 wrapText="1"/>
    </xf>
    <xf numFmtId="9" fontId="7" fillId="10" borderId="2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9" fillId="4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8EAF6"/>
      <rgbColor rgb="FFF5F5F5"/>
      <rgbColor rgb="FF99CCFF"/>
      <rgbColor rgb="FFFF99CC"/>
      <rgbColor rgb="FFCC99FF"/>
      <rgbColor rgb="FFFFEBEE"/>
      <rgbColor rgb="FF3949AB"/>
      <rgbColor rgb="FF33CCCC"/>
      <rgbColor rgb="FF99CC00"/>
      <rgbColor rgb="FFFFCC00"/>
      <rgbColor rgb="FFFF9900"/>
      <rgbColor rgb="FFFF6600"/>
      <rgbColor rgb="FF5C6BC0"/>
      <rgbColor rgb="FF969696"/>
      <rgbColor rgb="FF1A237E"/>
      <rgbColor rgb="FF339966"/>
      <rgbColor rgb="FF003300"/>
      <rgbColor rgb="FF333300"/>
      <rgbColor rgb="FF993300"/>
      <rgbColor rgb="FF993366"/>
      <rgbColor rgb="FF283593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showGridLines="0" topLeftCell="A4" zoomScaleNormal="100" workbookViewId="0">
      <selection activeCell="B3" sqref="B3"/>
    </sheetView>
  </sheetViews>
  <sheetFormatPr baseColWidth="10" defaultColWidth="8.6328125" defaultRowHeight="14.5" x14ac:dyDescent="0.35"/>
  <cols>
    <col min="1" max="1" width="30" customWidth="1"/>
    <col min="2" max="2" width="18" customWidth="1"/>
    <col min="3" max="3" width="5" customWidth="1"/>
    <col min="4" max="4" width="30" customWidth="1"/>
    <col min="5" max="5" width="18" customWidth="1"/>
  </cols>
  <sheetData>
    <row r="1" spans="1:8" ht="31.5" customHeight="1" x14ac:dyDescent="0.35">
      <c r="A1" s="20" t="s">
        <v>0</v>
      </c>
      <c r="B1" s="20"/>
      <c r="C1" s="20"/>
      <c r="D1" s="20"/>
      <c r="E1" s="20"/>
      <c r="F1" s="20"/>
      <c r="G1" s="20"/>
      <c r="H1" s="20"/>
    </row>
    <row r="2" spans="1:8" ht="21.75" customHeight="1" x14ac:dyDescent="0.35">
      <c r="A2" s="21" t="s">
        <v>1</v>
      </c>
      <c r="B2" s="21"/>
      <c r="D2" s="21" t="s">
        <v>2</v>
      </c>
      <c r="E2" s="21"/>
    </row>
    <row r="3" spans="1:8" ht="24" customHeight="1" x14ac:dyDescent="0.35">
      <c r="A3" s="1" t="s">
        <v>3</v>
      </c>
      <c r="B3" s="2">
        <f>COUNTA('👥 Empleados'!A3:A20)</f>
        <v>5</v>
      </c>
      <c r="D3" s="3" t="s">
        <v>4</v>
      </c>
      <c r="E3" s="2">
        <f>COUNTIF('📧 Comunicaciones'!I3:I50,"*Enviado*")</f>
        <v>4</v>
      </c>
    </row>
    <row r="4" spans="1:8" ht="24" customHeight="1" x14ac:dyDescent="0.35">
      <c r="A4" s="1" t="s">
        <v>5</v>
      </c>
      <c r="B4" s="2">
        <f>COUNTA('🏢 Clientes'!A3:A30)</f>
        <v>6</v>
      </c>
      <c r="D4" s="4" t="s">
        <v>6</v>
      </c>
      <c r="E4" s="2">
        <f>COUNTIF('📧 Comunicaciones'!I3:I50,"*Pendiente*")</f>
        <v>1</v>
      </c>
    </row>
    <row r="5" spans="1:8" ht="24" customHeight="1" x14ac:dyDescent="0.35">
      <c r="A5" s="1" t="s">
        <v>7</v>
      </c>
      <c r="B5" s="2">
        <f>COUNTIF('✅ Tareas'!J3:J30,"*Completada*")</f>
        <v>2</v>
      </c>
      <c r="D5" s="5" t="s">
        <v>8</v>
      </c>
      <c r="E5" s="2">
        <f>COUNTIF('📧 Comunicaciones'!I3:I50,"*Sin enviar*")</f>
        <v>1</v>
      </c>
    </row>
    <row r="6" spans="1:8" ht="24" customHeight="1" x14ac:dyDescent="0.35">
      <c r="A6" s="4" t="s">
        <v>9</v>
      </c>
      <c r="B6" s="2">
        <f>COUNTIF('✅ Tareas'!J3:J30,"*Pendiente*")</f>
        <v>2</v>
      </c>
    </row>
    <row r="7" spans="1:8" ht="24" customHeight="1" x14ac:dyDescent="0.35">
      <c r="A7" s="6" t="s">
        <v>10</v>
      </c>
      <c r="B7" s="2">
        <f>COUNTIF('✅ Tareas'!J3:J30,"*curso*")</f>
        <v>1</v>
      </c>
    </row>
    <row r="10" spans="1:8" ht="21.75" customHeight="1" x14ac:dyDescent="0.35">
      <c r="A10" s="22" t="s">
        <v>11</v>
      </c>
      <c r="B10" s="22"/>
      <c r="C10" s="22"/>
      <c r="D10" s="22"/>
      <c r="E10" s="22"/>
      <c r="F10" s="22"/>
      <c r="G10" s="22"/>
      <c r="H10" s="22"/>
    </row>
    <row r="11" spans="1:8" ht="19.5" customHeight="1" x14ac:dyDescent="0.35">
      <c r="A11" s="7" t="s">
        <v>12</v>
      </c>
      <c r="B11" s="19" t="s">
        <v>13</v>
      </c>
      <c r="C11" s="19"/>
      <c r="D11" s="19"/>
      <c r="E11" s="19"/>
      <c r="F11" s="19"/>
      <c r="G11" s="19"/>
      <c r="H11" s="19"/>
    </row>
    <row r="12" spans="1:8" ht="19.5" customHeight="1" x14ac:dyDescent="0.35">
      <c r="A12" s="7" t="s">
        <v>14</v>
      </c>
      <c r="B12" s="19" t="s">
        <v>15</v>
      </c>
      <c r="C12" s="19"/>
      <c r="D12" s="19"/>
      <c r="E12" s="19"/>
      <c r="F12" s="19"/>
      <c r="G12" s="19"/>
      <c r="H12" s="19"/>
    </row>
    <row r="13" spans="1:8" ht="19.5" customHeight="1" x14ac:dyDescent="0.35">
      <c r="A13" s="7" t="s">
        <v>16</v>
      </c>
      <c r="B13" s="19" t="s">
        <v>17</v>
      </c>
      <c r="C13" s="19"/>
      <c r="D13" s="19"/>
      <c r="E13" s="19"/>
      <c r="F13" s="19"/>
      <c r="G13" s="19"/>
      <c r="H13" s="19"/>
    </row>
    <row r="14" spans="1:8" ht="19.5" customHeight="1" x14ac:dyDescent="0.35">
      <c r="A14" s="7" t="s">
        <v>18</v>
      </c>
      <c r="B14" s="19" t="s">
        <v>19</v>
      </c>
      <c r="C14" s="19"/>
      <c r="D14" s="19"/>
      <c r="E14" s="19"/>
      <c r="F14" s="19"/>
      <c r="G14" s="19"/>
      <c r="H14" s="19"/>
    </row>
  </sheetData>
  <mergeCells count="8">
    <mergeCell ref="B12:H12"/>
    <mergeCell ref="B13:H13"/>
    <mergeCell ref="B14:H14"/>
    <mergeCell ref="A1:H1"/>
    <mergeCell ref="A2:B2"/>
    <mergeCell ref="D2:E2"/>
    <mergeCell ref="A10:H10"/>
    <mergeCell ref="B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showGridLines="0" zoomScaleNormal="100" workbookViewId="0">
      <pane ySplit="2" topLeftCell="A3" activePane="bottomLeft" state="frozen"/>
      <selection pane="bottomLeft" activeCell="E2" sqref="E2"/>
    </sheetView>
  </sheetViews>
  <sheetFormatPr baseColWidth="10" defaultColWidth="8.6328125" defaultRowHeight="14.5" x14ac:dyDescent="0.35"/>
  <cols>
    <col min="1" max="1" width="22" customWidth="1"/>
    <col min="2" max="2" width="18" customWidth="1"/>
    <col min="3" max="3" width="28" customWidth="1"/>
    <col min="4" max="4" width="16" customWidth="1"/>
    <col min="5" max="6" width="14" customWidth="1"/>
    <col min="7" max="9" width="12" customWidth="1"/>
    <col min="10" max="10" width="30" customWidth="1"/>
  </cols>
  <sheetData>
    <row r="1" spans="1:10" ht="31.5" customHeight="1" x14ac:dyDescent="0.35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36" customHeight="1" x14ac:dyDescent="0.35">
      <c r="A2" s="8" t="s">
        <v>21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26</v>
      </c>
      <c r="G2" s="8" t="s">
        <v>27</v>
      </c>
      <c r="H2" s="8" t="s">
        <v>28</v>
      </c>
      <c r="I2" s="8" t="s">
        <v>29</v>
      </c>
      <c r="J2" s="8" t="s">
        <v>30</v>
      </c>
    </row>
    <row r="3" spans="1:10" x14ac:dyDescent="0.35">
      <c r="A3" s="9" t="s">
        <v>31</v>
      </c>
      <c r="B3" s="9" t="s">
        <v>32</v>
      </c>
      <c r="C3" s="9" t="s">
        <v>33</v>
      </c>
      <c r="D3" s="9" t="s">
        <v>34</v>
      </c>
      <c r="E3" s="10">
        <v>40</v>
      </c>
      <c r="F3" s="10">
        <v>38</v>
      </c>
      <c r="G3" s="11">
        <f>IF(E3=0,"",F3/E3)</f>
        <v>0.95</v>
      </c>
      <c r="H3" s="10"/>
      <c r="I3" s="10"/>
      <c r="J3" s="9"/>
    </row>
    <row r="4" spans="1:10" x14ac:dyDescent="0.35">
      <c r="A4" s="12" t="s">
        <v>35</v>
      </c>
      <c r="B4" s="12" t="s">
        <v>36</v>
      </c>
      <c r="C4" s="12" t="s">
        <v>37</v>
      </c>
      <c r="D4" s="12" t="s">
        <v>38</v>
      </c>
      <c r="E4" s="13">
        <v>40</v>
      </c>
      <c r="F4" s="13">
        <v>32</v>
      </c>
      <c r="G4" s="14">
        <f>IF(E4=0,"",F4/E4)</f>
        <v>0.8</v>
      </c>
      <c r="H4" s="13"/>
      <c r="I4" s="13"/>
      <c r="J4" s="12" t="s">
        <v>39</v>
      </c>
    </row>
    <row r="5" spans="1:10" x14ac:dyDescent="0.35">
      <c r="A5" s="9" t="s">
        <v>40</v>
      </c>
      <c r="B5" s="9" t="s">
        <v>41</v>
      </c>
      <c r="C5" s="9" t="s">
        <v>42</v>
      </c>
      <c r="D5" s="9" t="s">
        <v>43</v>
      </c>
      <c r="E5" s="10">
        <v>35</v>
      </c>
      <c r="F5" s="10">
        <v>35</v>
      </c>
      <c r="G5" s="11">
        <f>IF(E5=0,"",F5/E5)</f>
        <v>1</v>
      </c>
      <c r="H5" s="10"/>
      <c r="I5" s="10"/>
      <c r="J5" s="9"/>
    </row>
    <row r="6" spans="1:10" x14ac:dyDescent="0.35">
      <c r="A6" s="12" t="s">
        <v>44</v>
      </c>
      <c r="B6" s="12" t="s">
        <v>45</v>
      </c>
      <c r="C6" s="12" t="s">
        <v>46</v>
      </c>
      <c r="D6" s="12" t="s">
        <v>47</v>
      </c>
      <c r="E6" s="13">
        <v>40</v>
      </c>
      <c r="F6" s="13">
        <v>40</v>
      </c>
      <c r="G6" s="14">
        <f>IF(E6=0,"",F6/E6)</f>
        <v>1</v>
      </c>
      <c r="H6" s="13"/>
      <c r="I6" s="13"/>
      <c r="J6" s="12"/>
    </row>
    <row r="7" spans="1:10" x14ac:dyDescent="0.35">
      <c r="A7" s="9"/>
      <c r="B7" s="9"/>
      <c r="C7" s="9"/>
      <c r="D7" s="9"/>
      <c r="E7" s="10"/>
      <c r="F7" s="10"/>
      <c r="G7" s="10"/>
      <c r="H7" s="10"/>
      <c r="I7" s="10"/>
      <c r="J7" s="9"/>
    </row>
    <row r="8" spans="1:10" x14ac:dyDescent="0.35">
      <c r="A8" s="12"/>
      <c r="B8" s="12"/>
      <c r="C8" s="12"/>
      <c r="D8" s="12"/>
      <c r="E8" s="13"/>
      <c r="F8" s="13"/>
      <c r="G8" s="13"/>
      <c r="H8" s="13"/>
      <c r="I8" s="13"/>
      <c r="J8" s="12"/>
    </row>
    <row r="9" spans="1:10" x14ac:dyDescent="0.35">
      <c r="A9" s="9"/>
      <c r="B9" s="9"/>
      <c r="C9" s="9"/>
      <c r="D9" s="9"/>
      <c r="E9" s="10"/>
      <c r="F9" s="10"/>
      <c r="G9" s="10"/>
      <c r="H9" s="10"/>
      <c r="I9" s="10"/>
      <c r="J9" s="9"/>
    </row>
    <row r="11" spans="1:10" ht="15" customHeight="1" x14ac:dyDescent="0.35">
      <c r="A11" s="23" t="s">
        <v>48</v>
      </c>
      <c r="B11" s="23"/>
      <c r="C11" s="23"/>
      <c r="D11" s="23"/>
      <c r="E11" s="23"/>
      <c r="F11" s="23"/>
      <c r="G11" s="23"/>
      <c r="H11" s="23"/>
      <c r="I11" s="23"/>
      <c r="J11" s="23"/>
    </row>
  </sheetData>
  <mergeCells count="2">
    <mergeCell ref="A1:J1"/>
    <mergeCell ref="A11:J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showGridLines="0" zoomScaleNormal="100" workbookViewId="0">
      <pane ySplit="2" topLeftCell="A3" activePane="bottomLeft" state="frozen"/>
      <selection pane="bottomLeft" sqref="A1:L1"/>
    </sheetView>
  </sheetViews>
  <sheetFormatPr baseColWidth="10" defaultColWidth="8.6328125" defaultRowHeight="14.5" x14ac:dyDescent="0.35"/>
  <cols>
    <col min="1" max="1" width="28" customWidth="1"/>
    <col min="2" max="2" width="16" customWidth="1"/>
    <col min="3" max="3" width="14" customWidth="1"/>
    <col min="4" max="4" width="20" customWidth="1"/>
    <col min="5" max="5" width="13" customWidth="1"/>
    <col min="6" max="6" width="16" customWidth="1"/>
    <col min="7" max="7" width="18" customWidth="1"/>
    <col min="8" max="8" width="14" customWidth="1"/>
    <col min="9" max="9" width="16" customWidth="1"/>
    <col min="10" max="11" width="14" customWidth="1"/>
    <col min="12" max="12" width="30" customWidth="1"/>
  </cols>
  <sheetData>
    <row r="1" spans="1:12" ht="31.5" customHeight="1" x14ac:dyDescent="0.35">
      <c r="A1" s="20" t="s">
        <v>49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36" customHeight="1" x14ac:dyDescent="0.35">
      <c r="A2" s="8" t="s">
        <v>50</v>
      </c>
      <c r="B2" s="8" t="s">
        <v>51</v>
      </c>
      <c r="C2" s="8" t="s">
        <v>52</v>
      </c>
      <c r="D2" s="8" t="s">
        <v>53</v>
      </c>
      <c r="E2" s="8" t="s">
        <v>54</v>
      </c>
      <c r="F2" s="8" t="s">
        <v>55</v>
      </c>
      <c r="G2" s="8" t="s">
        <v>56</v>
      </c>
      <c r="H2" s="8" t="s">
        <v>57</v>
      </c>
      <c r="I2" s="8" t="s">
        <v>58</v>
      </c>
      <c r="J2" s="8" t="s">
        <v>59</v>
      </c>
      <c r="K2" s="8" t="s">
        <v>60</v>
      </c>
      <c r="L2" s="8" t="s">
        <v>30</v>
      </c>
    </row>
    <row r="3" spans="1:12" x14ac:dyDescent="0.35">
      <c r="A3" s="9" t="s">
        <v>61</v>
      </c>
      <c r="B3" s="10" t="s">
        <v>62</v>
      </c>
      <c r="C3" s="10" t="s">
        <v>63</v>
      </c>
      <c r="D3" s="9" t="s">
        <v>31</v>
      </c>
      <c r="E3" s="10" t="s">
        <v>64</v>
      </c>
      <c r="F3" s="10" t="s">
        <v>65</v>
      </c>
      <c r="G3" s="10" t="s">
        <v>66</v>
      </c>
      <c r="H3" s="15" t="s">
        <v>67</v>
      </c>
      <c r="I3" s="10" t="s">
        <v>68</v>
      </c>
      <c r="J3" s="10" t="s">
        <v>69</v>
      </c>
      <c r="K3" s="10" t="s">
        <v>70</v>
      </c>
      <c r="L3" s="9"/>
    </row>
    <row r="4" spans="1:12" x14ac:dyDescent="0.35">
      <c r="A4" s="12" t="s">
        <v>71</v>
      </c>
      <c r="B4" s="13" t="s">
        <v>72</v>
      </c>
      <c r="C4" s="13" t="s">
        <v>63</v>
      </c>
      <c r="D4" s="12" t="s">
        <v>44</v>
      </c>
      <c r="E4" s="13" t="s">
        <v>73</v>
      </c>
      <c r="F4" s="13" t="s">
        <v>74</v>
      </c>
      <c r="G4" s="13" t="s">
        <v>75</v>
      </c>
      <c r="H4" s="16" t="s">
        <v>76</v>
      </c>
      <c r="I4" s="13"/>
      <c r="J4" s="13"/>
      <c r="K4" s="13" t="s">
        <v>77</v>
      </c>
      <c r="L4" s="12" t="s">
        <v>78</v>
      </c>
    </row>
    <row r="5" spans="1:12" x14ac:dyDescent="0.35">
      <c r="A5" s="9" t="s">
        <v>79</v>
      </c>
      <c r="B5" s="10" t="s">
        <v>80</v>
      </c>
      <c r="C5" s="10" t="s">
        <v>81</v>
      </c>
      <c r="D5" s="9" t="s">
        <v>35</v>
      </c>
      <c r="E5" s="10" t="s">
        <v>64</v>
      </c>
      <c r="F5" s="10" t="s">
        <v>82</v>
      </c>
      <c r="G5" s="10" t="s">
        <v>83</v>
      </c>
      <c r="H5" s="15" t="s">
        <v>67</v>
      </c>
      <c r="I5" s="10" t="s">
        <v>68</v>
      </c>
      <c r="J5" s="10" t="s">
        <v>84</v>
      </c>
      <c r="K5" s="10" t="s">
        <v>82</v>
      </c>
      <c r="L5" s="9" t="s">
        <v>85</v>
      </c>
    </row>
    <row r="6" spans="1:12" x14ac:dyDescent="0.35">
      <c r="A6" s="12" t="s">
        <v>86</v>
      </c>
      <c r="B6" s="13" t="s">
        <v>87</v>
      </c>
      <c r="C6" s="13" t="s">
        <v>63</v>
      </c>
      <c r="D6" s="12" t="s">
        <v>31</v>
      </c>
      <c r="E6" s="13" t="s">
        <v>88</v>
      </c>
      <c r="F6" s="13" t="s">
        <v>89</v>
      </c>
      <c r="G6" s="13" t="s">
        <v>90</v>
      </c>
      <c r="H6" s="15" t="s">
        <v>67</v>
      </c>
      <c r="I6" s="13" t="s">
        <v>68</v>
      </c>
      <c r="J6" s="13" t="s">
        <v>69</v>
      </c>
      <c r="K6" s="13" t="s">
        <v>70</v>
      </c>
      <c r="L6" s="12"/>
    </row>
    <row r="7" spans="1:12" x14ac:dyDescent="0.35">
      <c r="A7" s="9" t="s">
        <v>91</v>
      </c>
      <c r="B7" s="10" t="s">
        <v>92</v>
      </c>
      <c r="C7" s="10" t="s">
        <v>63</v>
      </c>
      <c r="D7" s="9" t="s">
        <v>44</v>
      </c>
      <c r="E7" s="10" t="s">
        <v>93</v>
      </c>
      <c r="F7" s="10" t="s">
        <v>65</v>
      </c>
      <c r="G7" s="10"/>
      <c r="H7" s="17" t="s">
        <v>94</v>
      </c>
      <c r="I7" s="10"/>
      <c r="J7" s="10"/>
      <c r="K7" s="10" t="s">
        <v>77</v>
      </c>
      <c r="L7" s="9"/>
    </row>
    <row r="8" spans="1:12" x14ac:dyDescent="0.35">
      <c r="A8" s="12"/>
      <c r="B8" s="13"/>
      <c r="C8" s="13"/>
      <c r="D8" s="12"/>
      <c r="E8" s="13"/>
      <c r="F8" s="13"/>
      <c r="G8" s="13"/>
      <c r="H8" s="13"/>
      <c r="I8" s="13"/>
      <c r="J8" s="13"/>
      <c r="K8" s="13"/>
      <c r="L8" s="12"/>
    </row>
    <row r="9" spans="1:12" x14ac:dyDescent="0.35">
      <c r="A9" s="9"/>
      <c r="B9" s="10"/>
      <c r="C9" s="10"/>
      <c r="D9" s="9"/>
      <c r="E9" s="10"/>
      <c r="F9" s="10"/>
      <c r="G9" s="10"/>
      <c r="H9" s="10"/>
      <c r="I9" s="10"/>
      <c r="J9" s="10"/>
      <c r="K9" s="10"/>
      <c r="L9" s="9"/>
    </row>
    <row r="10" spans="1:12" x14ac:dyDescent="0.35">
      <c r="A10" s="12"/>
      <c r="B10" s="13"/>
      <c r="C10" s="13"/>
      <c r="D10" s="12"/>
      <c r="E10" s="13"/>
      <c r="F10" s="13"/>
      <c r="G10" s="13"/>
      <c r="H10" s="13"/>
      <c r="I10" s="13"/>
      <c r="J10" s="13"/>
      <c r="K10" s="13"/>
      <c r="L10" s="12"/>
    </row>
    <row r="12" spans="1:12" ht="15" customHeight="1" x14ac:dyDescent="0.35">
      <c r="A12" s="23" t="s">
        <v>95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</sheetData>
  <mergeCells count="2">
    <mergeCell ref="A1:L1"/>
    <mergeCell ref="A12:L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showGridLines="0" zoomScaleNormal="100" workbookViewId="0">
      <pane ySplit="2" topLeftCell="A3" activePane="bottomLeft" state="frozen"/>
      <selection pane="bottomLeft" activeCell="H2" sqref="H1:I1048576"/>
    </sheetView>
  </sheetViews>
  <sheetFormatPr baseColWidth="10" defaultColWidth="8.6328125" defaultRowHeight="14.5" x14ac:dyDescent="0.35"/>
  <cols>
    <col min="1" max="1" width="20" customWidth="1"/>
    <col min="2" max="2" width="25" customWidth="1"/>
    <col min="3" max="3" width="30" customWidth="1"/>
    <col min="4" max="4" width="18" customWidth="1"/>
    <col min="5" max="5" width="12" customWidth="1"/>
    <col min="6" max="7" width="14" customWidth="1"/>
    <col min="8" max="9" width="10" customWidth="1"/>
    <col min="10" max="10" width="14" customWidth="1"/>
  </cols>
  <sheetData>
    <row r="1" spans="1:10" ht="31.5" customHeight="1" x14ac:dyDescent="0.35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36" customHeight="1" x14ac:dyDescent="0.35">
      <c r="A2" s="8" t="s">
        <v>21</v>
      </c>
      <c r="B2" s="8" t="s">
        <v>97</v>
      </c>
      <c r="C2" s="8" t="s">
        <v>98</v>
      </c>
      <c r="D2" s="8" t="s">
        <v>99</v>
      </c>
      <c r="E2" s="8" t="s">
        <v>100</v>
      </c>
      <c r="F2" s="8" t="s">
        <v>101</v>
      </c>
      <c r="G2" s="8" t="s">
        <v>102</v>
      </c>
      <c r="H2" s="8" t="s">
        <v>103</v>
      </c>
      <c r="I2" s="8" t="s">
        <v>104</v>
      </c>
      <c r="J2" s="8" t="s">
        <v>105</v>
      </c>
    </row>
    <row r="3" spans="1:10" x14ac:dyDescent="0.35">
      <c r="A3" s="9" t="s">
        <v>31</v>
      </c>
      <c r="B3" s="9" t="s">
        <v>61</v>
      </c>
      <c r="C3" s="9" t="s">
        <v>106</v>
      </c>
      <c r="D3" s="9" t="s">
        <v>107</v>
      </c>
      <c r="E3" s="17" t="s">
        <v>108</v>
      </c>
      <c r="F3" s="10" t="s">
        <v>83</v>
      </c>
      <c r="G3" s="10" t="s">
        <v>109</v>
      </c>
      <c r="H3" s="10">
        <v>3</v>
      </c>
      <c r="I3" s="10">
        <v>2.5</v>
      </c>
      <c r="J3" s="15" t="s">
        <v>110</v>
      </c>
    </row>
    <row r="4" spans="1:10" x14ac:dyDescent="0.35">
      <c r="A4" s="12" t="s">
        <v>31</v>
      </c>
      <c r="B4" s="12" t="s">
        <v>86</v>
      </c>
      <c r="C4" s="12" t="s">
        <v>111</v>
      </c>
      <c r="D4" s="12" t="s">
        <v>112</v>
      </c>
      <c r="E4" s="17" t="s">
        <v>108</v>
      </c>
      <c r="F4" s="13" t="s">
        <v>66</v>
      </c>
      <c r="G4" s="13" t="s">
        <v>113</v>
      </c>
      <c r="H4" s="13">
        <v>8</v>
      </c>
      <c r="I4" s="13">
        <v>5</v>
      </c>
      <c r="J4" s="18" t="s">
        <v>114</v>
      </c>
    </row>
    <row r="5" spans="1:10" x14ac:dyDescent="0.35">
      <c r="A5" s="9" t="s">
        <v>35</v>
      </c>
      <c r="B5" s="9" t="s">
        <v>79</v>
      </c>
      <c r="C5" s="9" t="s">
        <v>115</v>
      </c>
      <c r="D5" s="9" t="s">
        <v>107</v>
      </c>
      <c r="E5" s="16" t="s">
        <v>116</v>
      </c>
      <c r="F5" s="10" t="s">
        <v>117</v>
      </c>
      <c r="G5" s="10" t="s">
        <v>118</v>
      </c>
      <c r="H5" s="10">
        <v>2</v>
      </c>
      <c r="I5" s="10">
        <v>0</v>
      </c>
      <c r="J5" s="16" t="s">
        <v>119</v>
      </c>
    </row>
    <row r="6" spans="1:10" x14ac:dyDescent="0.35">
      <c r="A6" s="12" t="s">
        <v>44</v>
      </c>
      <c r="B6" s="12" t="s">
        <v>71</v>
      </c>
      <c r="C6" s="12" t="s">
        <v>120</v>
      </c>
      <c r="D6" s="12" t="s">
        <v>107</v>
      </c>
      <c r="E6" s="17" t="s">
        <v>108</v>
      </c>
      <c r="F6" s="13" t="s">
        <v>83</v>
      </c>
      <c r="G6" s="13" t="s">
        <v>66</v>
      </c>
      <c r="H6" s="13">
        <v>4</v>
      </c>
      <c r="I6" s="13">
        <v>4</v>
      </c>
      <c r="J6" s="15" t="s">
        <v>110</v>
      </c>
    </row>
    <row r="7" spans="1:10" x14ac:dyDescent="0.35">
      <c r="A7" s="9" t="s">
        <v>44</v>
      </c>
      <c r="B7" s="9" t="s">
        <v>91</v>
      </c>
      <c r="C7" s="9" t="s">
        <v>121</v>
      </c>
      <c r="D7" s="9" t="s">
        <v>122</v>
      </c>
      <c r="E7" s="17" t="s">
        <v>108</v>
      </c>
      <c r="F7" s="10" t="s">
        <v>123</v>
      </c>
      <c r="G7" s="10" t="s">
        <v>113</v>
      </c>
      <c r="H7" s="10">
        <v>2</v>
      </c>
      <c r="I7" s="10">
        <v>0</v>
      </c>
      <c r="J7" s="16" t="s">
        <v>119</v>
      </c>
    </row>
    <row r="8" spans="1:10" x14ac:dyDescent="0.35">
      <c r="A8" s="12"/>
      <c r="B8" s="12"/>
      <c r="C8" s="12"/>
      <c r="D8" s="12"/>
      <c r="E8" s="13"/>
      <c r="F8" s="13"/>
      <c r="G8" s="13"/>
      <c r="H8" s="13"/>
      <c r="I8" s="13"/>
      <c r="J8" s="13"/>
    </row>
    <row r="9" spans="1:10" x14ac:dyDescent="0.35">
      <c r="A9" s="9"/>
      <c r="B9" s="9"/>
      <c r="C9" s="9"/>
      <c r="D9" s="9"/>
      <c r="E9" s="10"/>
      <c r="F9" s="10"/>
      <c r="G9" s="10"/>
      <c r="H9" s="10"/>
      <c r="I9" s="10"/>
      <c r="J9" s="10"/>
    </row>
    <row r="10" spans="1:10" x14ac:dyDescent="0.35">
      <c r="A10" s="12"/>
      <c r="B10" s="12"/>
      <c r="C10" s="12"/>
      <c r="D10" s="12"/>
      <c r="E10" s="13"/>
      <c r="F10" s="13"/>
      <c r="G10" s="13"/>
      <c r="H10" s="13"/>
      <c r="I10" s="13"/>
      <c r="J10" s="13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showGridLines="0" zoomScaleNormal="100" workbookViewId="0">
      <pane ySplit="2" topLeftCell="A3" activePane="bottomLeft" state="frozen"/>
      <selection pane="bottomLeft" activeCell="G7" sqref="G7"/>
    </sheetView>
  </sheetViews>
  <sheetFormatPr baseColWidth="10" defaultColWidth="8.6328125" defaultRowHeight="14.5" x14ac:dyDescent="0.35"/>
  <cols>
    <col min="1" max="1" width="28" customWidth="1"/>
    <col min="2" max="3" width="14" customWidth="1"/>
    <col min="4" max="4" width="18" customWidth="1"/>
    <col min="5" max="5" width="16" customWidth="1"/>
    <col min="6" max="6" width="14" customWidth="1"/>
    <col min="7" max="7" width="16" customWidth="1"/>
    <col min="8" max="8" width="30" customWidth="1"/>
    <col min="9" max="9" width="14" customWidth="1"/>
  </cols>
  <sheetData>
    <row r="1" spans="1:9" ht="31.5" customHeight="1" x14ac:dyDescent="0.35">
      <c r="A1" s="20" t="s">
        <v>124</v>
      </c>
      <c r="B1" s="20"/>
      <c r="C1" s="20"/>
      <c r="D1" s="20"/>
      <c r="E1" s="20"/>
      <c r="F1" s="20"/>
      <c r="G1" s="20"/>
      <c r="H1" s="20"/>
      <c r="I1" s="20"/>
    </row>
    <row r="2" spans="1:9" ht="36" customHeight="1" x14ac:dyDescent="0.35">
      <c r="A2" s="8" t="s">
        <v>97</v>
      </c>
      <c r="B2" s="8" t="s">
        <v>125</v>
      </c>
      <c r="C2" s="8" t="s">
        <v>126</v>
      </c>
      <c r="D2" s="8" t="s">
        <v>127</v>
      </c>
      <c r="E2" s="8" t="s">
        <v>58</v>
      </c>
      <c r="F2" s="8" t="s">
        <v>59</v>
      </c>
      <c r="G2" s="8" t="s">
        <v>60</v>
      </c>
      <c r="H2" s="8" t="s">
        <v>128</v>
      </c>
      <c r="I2" s="8" t="s">
        <v>105</v>
      </c>
    </row>
    <row r="3" spans="1:9" x14ac:dyDescent="0.35">
      <c r="A3" s="9" t="s">
        <v>61</v>
      </c>
      <c r="B3" s="10" t="s">
        <v>129</v>
      </c>
      <c r="C3" s="10" t="s">
        <v>66</v>
      </c>
      <c r="D3" s="10" t="s">
        <v>23</v>
      </c>
      <c r="E3" s="10" t="s">
        <v>130</v>
      </c>
      <c r="F3" s="10" t="s">
        <v>130</v>
      </c>
      <c r="G3" s="10" t="s">
        <v>130</v>
      </c>
      <c r="H3" s="9"/>
      <c r="I3" s="15" t="s">
        <v>67</v>
      </c>
    </row>
    <row r="4" spans="1:9" x14ac:dyDescent="0.35">
      <c r="A4" s="12" t="s">
        <v>86</v>
      </c>
      <c r="B4" s="13" t="s">
        <v>129</v>
      </c>
      <c r="C4" s="13" t="s">
        <v>90</v>
      </c>
      <c r="D4" s="13" t="s">
        <v>23</v>
      </c>
      <c r="E4" s="13" t="s">
        <v>130</v>
      </c>
      <c r="F4" s="13" t="s">
        <v>130</v>
      </c>
      <c r="G4" s="13"/>
      <c r="H4" s="12"/>
      <c r="I4" s="15" t="s">
        <v>67</v>
      </c>
    </row>
    <row r="5" spans="1:9" x14ac:dyDescent="0.35">
      <c r="A5" s="9" t="s">
        <v>79</v>
      </c>
      <c r="B5" s="10" t="s">
        <v>129</v>
      </c>
      <c r="C5" s="10" t="s">
        <v>83</v>
      </c>
      <c r="D5" s="10" t="s">
        <v>131</v>
      </c>
      <c r="E5" s="10" t="s">
        <v>130</v>
      </c>
      <c r="F5" s="10" t="s">
        <v>130</v>
      </c>
      <c r="G5" s="10"/>
      <c r="H5" s="9" t="s">
        <v>132</v>
      </c>
      <c r="I5" s="15" t="s">
        <v>67</v>
      </c>
    </row>
    <row r="6" spans="1:9" x14ac:dyDescent="0.35">
      <c r="A6" s="12" t="s">
        <v>71</v>
      </c>
      <c r="B6" s="13" t="s">
        <v>129</v>
      </c>
      <c r="C6" s="13"/>
      <c r="D6" s="13" t="s">
        <v>23</v>
      </c>
      <c r="E6" s="13"/>
      <c r="F6" s="13"/>
      <c r="G6" s="13"/>
      <c r="H6" s="12"/>
      <c r="I6" s="16" t="s">
        <v>76</v>
      </c>
    </row>
    <row r="7" spans="1:9" x14ac:dyDescent="0.35">
      <c r="A7" s="9" t="s">
        <v>91</v>
      </c>
      <c r="B7" s="10" t="s">
        <v>129</v>
      </c>
      <c r="C7" s="10"/>
      <c r="D7" s="10"/>
      <c r="E7" s="10"/>
      <c r="F7" s="10"/>
      <c r="G7" s="10"/>
      <c r="H7" s="9"/>
      <c r="I7" s="17" t="s">
        <v>94</v>
      </c>
    </row>
    <row r="8" spans="1:9" x14ac:dyDescent="0.35">
      <c r="A8" s="12" t="s">
        <v>61</v>
      </c>
      <c r="B8" s="13" t="s">
        <v>133</v>
      </c>
      <c r="C8" s="13" t="s">
        <v>134</v>
      </c>
      <c r="D8" s="13" t="s">
        <v>23</v>
      </c>
      <c r="E8" s="13" t="s">
        <v>130</v>
      </c>
      <c r="F8" s="13" t="s">
        <v>130</v>
      </c>
      <c r="G8" s="13" t="s">
        <v>130</v>
      </c>
      <c r="H8" s="12"/>
      <c r="I8" s="15" t="s">
        <v>67</v>
      </c>
    </row>
    <row r="9" spans="1:9" x14ac:dyDescent="0.35">
      <c r="A9" s="9"/>
      <c r="B9" s="10"/>
      <c r="C9" s="10"/>
      <c r="D9" s="10"/>
      <c r="E9" s="10"/>
      <c r="F9" s="10"/>
      <c r="G9" s="10"/>
      <c r="H9" s="9"/>
      <c r="I9" s="10"/>
    </row>
    <row r="10" spans="1:9" x14ac:dyDescent="0.35">
      <c r="A10" s="12"/>
      <c r="B10" s="13"/>
      <c r="C10" s="13"/>
      <c r="D10" s="13"/>
      <c r="E10" s="13"/>
      <c r="F10" s="13"/>
      <c r="G10" s="13"/>
      <c r="H10" s="12"/>
      <c r="I10" s="13"/>
    </row>
    <row r="12" spans="1:9" ht="15" customHeight="1" x14ac:dyDescent="0.35">
      <c r="A12" s="23" t="s">
        <v>135</v>
      </c>
      <c r="B12" s="23"/>
      <c r="C12" s="23"/>
      <c r="D12" s="23"/>
      <c r="E12" s="23"/>
      <c r="F12" s="23"/>
      <c r="G12" s="23"/>
      <c r="H12" s="23"/>
      <c r="I12" s="23"/>
    </row>
  </sheetData>
  <mergeCells count="2">
    <mergeCell ref="A1:I1"/>
    <mergeCell ref="A12:I1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📊 Dashboard</vt:lpstr>
      <vt:lpstr>👥 Empleados</vt:lpstr>
      <vt:lpstr>🏢 Clientes</vt:lpstr>
      <vt:lpstr>✅ Tareas</vt:lpstr>
      <vt:lpstr>📧 Comunicaciones</vt:lpstr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Julián Morando</cp:lastModifiedBy>
  <cp:revision>0</cp:revision>
  <dcterms:created xsi:type="dcterms:W3CDTF">2026-04-29T14:47:47Z</dcterms:created>
  <dcterms:modified xsi:type="dcterms:W3CDTF">2026-04-29T19:29:17Z</dcterms:modified>
  <dc:language>en-US</dc:language>
</cp:coreProperties>
</file>